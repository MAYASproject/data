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"/>
    </mc:Choice>
  </mc:AlternateContent>
  <xr:revisionPtr revIDLastSave="0" documentId="13_ncr:1_{4EEB0DF7-C8C4-4C2C-8432-04EB5633B066}" xr6:coauthVersionLast="47" xr6:coauthVersionMax="47" xr10:uidLastSave="{00000000-0000-0000-0000-000000000000}"/>
  <bookViews>
    <workbookView xWindow="-108" yWindow="-108" windowWidth="23256" windowHeight="12456" xr2:uid="{89849527-D92C-4361-9477-0B704A1F84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  <c r="C35" i="1"/>
  <c r="D33" i="1"/>
  <c r="C33" i="1"/>
  <c r="B33" i="1"/>
  <c r="D32" i="1"/>
  <c r="C32" i="1"/>
  <c r="B32" i="1"/>
  <c r="B28" i="1"/>
  <c r="D26" i="1"/>
  <c r="C26" i="1"/>
  <c r="B26" i="1"/>
  <c r="D25" i="1"/>
  <c r="C25" i="1"/>
  <c r="B25" i="1"/>
  <c r="C21" i="1"/>
  <c r="B21" i="1"/>
  <c r="D19" i="1"/>
  <c r="C19" i="1"/>
  <c r="B19" i="1"/>
  <c r="D18" i="1"/>
  <c r="C18" i="1"/>
  <c r="B18" i="1"/>
</calcChain>
</file>

<file path=xl/sharedStrings.xml><?xml version="1.0" encoding="utf-8"?>
<sst xmlns="http://schemas.openxmlformats.org/spreadsheetml/2006/main" count="64" uniqueCount="40">
  <si>
    <t>Sexo</t>
  </si>
  <si>
    <t>Edad</t>
  </si>
  <si>
    <t>Sujeto 1</t>
  </si>
  <si>
    <t>Sujeto 2</t>
  </si>
  <si>
    <t>Sujeto 3</t>
  </si>
  <si>
    <t>Sujeto 4</t>
  </si>
  <si>
    <t>Femenimo</t>
  </si>
  <si>
    <t>Masculino</t>
  </si>
  <si>
    <t>femenino</t>
  </si>
  <si>
    <t xml:space="preserve">Sujeto 5 </t>
  </si>
  <si>
    <t>Sujeto 6</t>
  </si>
  <si>
    <t>Sujeto 7</t>
  </si>
  <si>
    <t>Sujeto 8</t>
  </si>
  <si>
    <t>Sujeto 9</t>
  </si>
  <si>
    <t>Sujeto 10</t>
  </si>
  <si>
    <t>Femenino</t>
  </si>
  <si>
    <t xml:space="preserve">Nota: repetir electret y biopac con todos. (menos los marcados en amarillo) </t>
  </si>
  <si>
    <t>Datos estadísticos población</t>
  </si>
  <si>
    <t>Hombres</t>
  </si>
  <si>
    <t xml:space="preserve">Mujeres </t>
  </si>
  <si>
    <t>Peso kg</t>
  </si>
  <si>
    <t>Estatura cm</t>
  </si>
  <si>
    <t xml:space="preserve">D E </t>
  </si>
  <si>
    <t xml:space="preserve">Media </t>
  </si>
  <si>
    <t>Rango</t>
  </si>
  <si>
    <t xml:space="preserve">moda </t>
  </si>
  <si>
    <t>Estadistica mujeres</t>
  </si>
  <si>
    <t>Estadistica hmbres</t>
  </si>
  <si>
    <t>edad</t>
  </si>
  <si>
    <t>estatura</t>
  </si>
  <si>
    <t>peso</t>
  </si>
  <si>
    <t>N/A</t>
  </si>
  <si>
    <t>22-26</t>
  </si>
  <si>
    <t>158-187</t>
  </si>
  <si>
    <t>158-166</t>
  </si>
  <si>
    <t>22-23</t>
  </si>
  <si>
    <t>167-187</t>
  </si>
  <si>
    <t>54.5-77</t>
  </si>
  <si>
    <t>54.5-110</t>
  </si>
  <si>
    <t>63-110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</si>
</sst>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0" fillId="2" borderId="0" xfId="0" applyFill="1"/>
    <xf numFmtId="0" fontId="0" fillId="3" borderId="0" xfId="0" applyFill="1"/>
    <xf numFmtId="9" fontId="0" fillId="0" borderId="0" xfId="0" applyNumberFormat="1"/>
    <xf numFmtId="0" fontId="0" fillId="0" borderId="1" xfId="0" applyBorder="1" applyAlignment="1">
      <alignment horizontal="center"/>
    </xf>
    <xf numFmtId="0" fontId="0" fillId="4" borderId="0" xfId="0" applyFill="1"/>
    <xf numFmtId="0" fontId="1" fillId="4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228D0-9E29-4E5B-B0AB-B3041F604F15}">
  <dimension ref="A1:G36"/>
  <sheetViews>
    <sheetView tabSelected="1" zoomScale="131" workbookViewId="0">
      <selection activeCell="F5" sqref="F5"/>
    </sheetView>
  </sheetViews>
  <sheetFormatPr baseColWidth="10" defaultRowHeight="14.4" x14ac:dyDescent="0.3"/>
  <sheetData>
    <row r="1" spans="1:7" x14ac:dyDescent="0.3">
      <c r="B1" t="s">
        <v>0</v>
      </c>
      <c r="C1" t="s">
        <v>1</v>
      </c>
      <c r="D1" t="s">
        <v>21</v>
      </c>
      <c r="E1" t="s">
        <v>20</v>
      </c>
    </row>
    <row r="2" spans="1:7" x14ac:dyDescent="0.3">
      <c r="A2" t="s">
        <v>2</v>
      </c>
      <c r="B2" s="3" t="s">
        <v>6</v>
      </c>
      <c r="C2">
        <v>23</v>
      </c>
      <c r="D2">
        <v>159</v>
      </c>
      <c r="E2">
        <v>57</v>
      </c>
    </row>
    <row r="3" spans="1:7" x14ac:dyDescent="0.3">
      <c r="A3" t="s">
        <v>3</v>
      </c>
      <c r="B3" s="4" t="s">
        <v>7</v>
      </c>
      <c r="C3">
        <v>23</v>
      </c>
      <c r="D3">
        <v>180</v>
      </c>
      <c r="E3">
        <v>98</v>
      </c>
    </row>
    <row r="4" spans="1:7" x14ac:dyDescent="0.3">
      <c r="A4" t="s">
        <v>4</v>
      </c>
      <c r="B4" s="3" t="s">
        <v>8</v>
      </c>
      <c r="C4">
        <v>26</v>
      </c>
      <c r="D4">
        <v>162</v>
      </c>
      <c r="E4">
        <v>65.5</v>
      </c>
      <c r="G4" t="s">
        <v>16</v>
      </c>
    </row>
    <row r="5" spans="1:7" x14ac:dyDescent="0.3">
      <c r="A5" t="s">
        <v>5</v>
      </c>
      <c r="B5" t="s">
        <v>8</v>
      </c>
      <c r="C5">
        <v>22</v>
      </c>
      <c r="D5">
        <v>158</v>
      </c>
      <c r="E5">
        <v>58</v>
      </c>
      <c r="F5" s="7"/>
    </row>
    <row r="6" spans="1:7" x14ac:dyDescent="0.3">
      <c r="A6" t="s">
        <v>9</v>
      </c>
      <c r="B6" t="s">
        <v>7</v>
      </c>
      <c r="C6">
        <v>23</v>
      </c>
      <c r="D6">
        <v>180</v>
      </c>
      <c r="E6">
        <v>75</v>
      </c>
    </row>
    <row r="7" spans="1:7" x14ac:dyDescent="0.3">
      <c r="A7" t="s">
        <v>10</v>
      </c>
      <c r="B7" s="4" t="s">
        <v>7</v>
      </c>
      <c r="C7">
        <v>23</v>
      </c>
      <c r="D7">
        <v>187</v>
      </c>
      <c r="E7">
        <v>110</v>
      </c>
      <c r="F7" s="7"/>
    </row>
    <row r="8" spans="1:7" x14ac:dyDescent="0.3">
      <c r="A8" t="s">
        <v>11</v>
      </c>
      <c r="B8" s="4" t="s">
        <v>7</v>
      </c>
      <c r="C8">
        <v>22</v>
      </c>
      <c r="D8">
        <v>180</v>
      </c>
      <c r="E8">
        <v>72</v>
      </c>
      <c r="F8" s="8"/>
    </row>
    <row r="9" spans="1:7" x14ac:dyDescent="0.3">
      <c r="A9" t="s">
        <v>12</v>
      </c>
      <c r="B9" s="3" t="s">
        <v>15</v>
      </c>
      <c r="C9">
        <v>23</v>
      </c>
      <c r="D9">
        <v>160</v>
      </c>
      <c r="E9">
        <v>54.5</v>
      </c>
      <c r="F9" s="7"/>
    </row>
    <row r="10" spans="1:7" x14ac:dyDescent="0.3">
      <c r="A10" t="s">
        <v>13</v>
      </c>
      <c r="B10" s="3" t="s">
        <v>15</v>
      </c>
      <c r="C10">
        <v>22</v>
      </c>
      <c r="D10">
        <v>166</v>
      </c>
      <c r="E10">
        <v>77</v>
      </c>
      <c r="F10" s="7"/>
    </row>
    <row r="11" spans="1:7" x14ac:dyDescent="0.3">
      <c r="A11" t="s">
        <v>14</v>
      </c>
      <c r="B11" s="4" t="s">
        <v>7</v>
      </c>
      <c r="C11">
        <v>23</v>
      </c>
      <c r="D11">
        <v>167</v>
      </c>
      <c r="E11">
        <v>63</v>
      </c>
    </row>
    <row r="13" spans="1:7" x14ac:dyDescent="0.3">
      <c r="A13" s="2" t="s">
        <v>17</v>
      </c>
      <c r="B13" s="2"/>
    </row>
    <row r="14" spans="1:7" x14ac:dyDescent="0.3">
      <c r="A14" t="s">
        <v>18</v>
      </c>
      <c r="B14">
        <v>5</v>
      </c>
      <c r="C14" s="5">
        <v>0.5</v>
      </c>
    </row>
    <row r="15" spans="1:7" x14ac:dyDescent="0.3">
      <c r="A15" t="s">
        <v>19</v>
      </c>
      <c r="B15">
        <v>5</v>
      </c>
      <c r="C15" s="5">
        <v>0.5</v>
      </c>
    </row>
    <row r="16" spans="1:7" ht="15" thickBot="1" x14ac:dyDescent="0.35">
      <c r="C16" s="5"/>
    </row>
    <row r="17" spans="1:4" ht="15.6" thickTop="1" thickBot="1" x14ac:dyDescent="0.35">
      <c r="A17" s="1"/>
      <c r="B17" s="6" t="s">
        <v>28</v>
      </c>
      <c r="C17" s="6" t="s">
        <v>29</v>
      </c>
      <c r="D17" s="6" t="s">
        <v>30</v>
      </c>
    </row>
    <row r="18" spans="1:4" ht="15.6" thickTop="1" thickBot="1" x14ac:dyDescent="0.35">
      <c r="A18" s="6" t="s">
        <v>22</v>
      </c>
      <c r="B18" s="6">
        <f>_xlfn.STDEV.P(C2:C11)</f>
        <v>1.0954451150103321</v>
      </c>
      <c r="C18" s="6">
        <f>_xlfn.STDEV.P(D2:D11)</f>
        <v>10.212247548899311</v>
      </c>
      <c r="D18" s="6">
        <f>_xlfn.STDEV.P(E2:E11)</f>
        <v>17.304623659588785</v>
      </c>
    </row>
    <row r="19" spans="1:4" ht="15.6" thickTop="1" thickBot="1" x14ac:dyDescent="0.35">
      <c r="A19" s="6" t="s">
        <v>23</v>
      </c>
      <c r="B19" s="6">
        <f>AVERAGE(C2:C11)</f>
        <v>23</v>
      </c>
      <c r="C19" s="6">
        <f>AVERAGE(D2:D11)</f>
        <v>169.9</v>
      </c>
      <c r="D19" s="6">
        <f>AVERAGE(E2:E11)</f>
        <v>73</v>
      </c>
    </row>
    <row r="20" spans="1:4" ht="15.6" thickTop="1" thickBot="1" x14ac:dyDescent="0.35">
      <c r="A20" s="6" t="s">
        <v>24</v>
      </c>
      <c r="B20" s="6" t="s">
        <v>32</v>
      </c>
      <c r="C20" s="6" t="s">
        <v>33</v>
      </c>
      <c r="D20" s="6" t="s">
        <v>38</v>
      </c>
    </row>
    <row r="21" spans="1:4" ht="15.6" thickTop="1" thickBot="1" x14ac:dyDescent="0.35">
      <c r="A21" s="6" t="s">
        <v>25</v>
      </c>
      <c r="B21" s="6">
        <f>MODE(C2:C11)</f>
        <v>23</v>
      </c>
      <c r="C21" s="6">
        <f>MODE(D2:D11)</f>
        <v>180</v>
      </c>
      <c r="D21" s="6" t="s">
        <v>31</v>
      </c>
    </row>
    <row r="22" spans="1:4" ht="15" thickTop="1" x14ac:dyDescent="0.3">
      <c r="A22" s="1"/>
      <c r="B22" s="1"/>
      <c r="C22" s="1"/>
      <c r="D22" s="1"/>
    </row>
    <row r="23" spans="1:4" ht="15" thickBot="1" x14ac:dyDescent="0.35">
      <c r="A23" s="9" t="s">
        <v>26</v>
      </c>
      <c r="B23" s="9"/>
      <c r="C23" s="9"/>
      <c r="D23" s="9"/>
    </row>
    <row r="24" spans="1:4" ht="15.6" thickTop="1" thickBot="1" x14ac:dyDescent="0.35">
      <c r="A24" s="1"/>
      <c r="B24" s="6" t="s">
        <v>28</v>
      </c>
      <c r="C24" s="6" t="s">
        <v>29</v>
      </c>
      <c r="D24" s="6" t="s">
        <v>30</v>
      </c>
    </row>
    <row r="25" spans="1:4" ht="15.6" thickTop="1" thickBot="1" x14ac:dyDescent="0.35">
      <c r="A25" s="6" t="s">
        <v>22</v>
      </c>
      <c r="B25" s="6">
        <f>_xlfn.STDEV.S(C2,C4:C5,C9:C10)</f>
        <v>1.6431676725154982</v>
      </c>
      <c r="C25" s="6">
        <f>_xlfn.STDEV.S(D2,D4:D5,D9:D10)</f>
        <v>3.1622776601683795</v>
      </c>
      <c r="D25" s="6">
        <f>_xlfn.STDEV.S(E2,E4:E5,E9:E10)</f>
        <v>9.1337287019048343</v>
      </c>
    </row>
    <row r="26" spans="1:4" ht="15.6" thickTop="1" thickBot="1" x14ac:dyDescent="0.35">
      <c r="A26" s="6" t="s">
        <v>23</v>
      </c>
      <c r="B26" s="6">
        <f>AVERAGE(C2,C4:C5,C9:C10)</f>
        <v>23.2</v>
      </c>
      <c r="C26" s="6">
        <f>AVERAGE(D2,D4:D5,D9:D10)</f>
        <v>161</v>
      </c>
      <c r="D26" s="6">
        <f>AVERAGE(E2,E4:E5,E9:E10)</f>
        <v>62.4</v>
      </c>
    </row>
    <row r="27" spans="1:4" ht="15.6" thickTop="1" thickBot="1" x14ac:dyDescent="0.35">
      <c r="A27" s="6" t="s">
        <v>24</v>
      </c>
      <c r="B27" s="6" t="s">
        <v>32</v>
      </c>
      <c r="C27" s="6" t="s">
        <v>34</v>
      </c>
      <c r="D27" s="6" t="s">
        <v>37</v>
      </c>
    </row>
    <row r="28" spans="1:4" ht="15.6" thickTop="1" thickBot="1" x14ac:dyDescent="0.35">
      <c r="A28" s="6" t="s">
        <v>25</v>
      </c>
      <c r="B28" s="6">
        <f>MODE(C2,C4:C5,C9:C10)</f>
        <v>23</v>
      </c>
      <c r="C28" s="6" t="s">
        <v>31</v>
      </c>
      <c r="D28" s="6" t="s">
        <v>31</v>
      </c>
    </row>
    <row r="29" spans="1:4" ht="15" thickTop="1" x14ac:dyDescent="0.3">
      <c r="A29" s="1"/>
      <c r="B29" s="1"/>
      <c r="C29" s="1"/>
      <c r="D29" s="1"/>
    </row>
    <row r="30" spans="1:4" ht="15" thickBot="1" x14ac:dyDescent="0.35">
      <c r="A30" s="9" t="s">
        <v>27</v>
      </c>
      <c r="B30" s="9"/>
      <c r="C30" s="1"/>
      <c r="D30" s="1"/>
    </row>
    <row r="31" spans="1:4" ht="15.6" thickTop="1" thickBot="1" x14ac:dyDescent="0.35">
      <c r="A31" s="1"/>
      <c r="B31" s="6" t="s">
        <v>28</v>
      </c>
      <c r="C31" s="6" t="s">
        <v>29</v>
      </c>
      <c r="D31" s="6" t="s">
        <v>30</v>
      </c>
    </row>
    <row r="32" spans="1:4" ht="15.6" thickTop="1" thickBot="1" x14ac:dyDescent="0.35">
      <c r="A32" s="6" t="s">
        <v>22</v>
      </c>
      <c r="B32" s="6">
        <f>_xlfn.STDEV.S(C3,C6:C8,C11)</f>
        <v>0.44721359549995793</v>
      </c>
      <c r="C32" s="6">
        <f>_xlfn.STDEV.S(D3,D6:D8,D11)</f>
        <v>7.2594765651526139</v>
      </c>
      <c r="D32" s="6">
        <f>_xlfn.STDEV.S(E3,E6:E8,E11)</f>
        <v>19.603571103245432</v>
      </c>
    </row>
    <row r="33" spans="1:4" ht="15.6" thickTop="1" thickBot="1" x14ac:dyDescent="0.35">
      <c r="A33" s="6" t="s">
        <v>23</v>
      </c>
      <c r="B33" s="6">
        <f>AVERAGE(C3,C6:C8,C11)</f>
        <v>22.8</v>
      </c>
      <c r="C33" s="6">
        <f>AVERAGE(D3,D6:D8,D11)</f>
        <v>178.8</v>
      </c>
      <c r="D33" s="6">
        <f>AVERAGE(E3,E6:E8,E11)</f>
        <v>83.6</v>
      </c>
    </row>
    <row r="34" spans="1:4" ht="15.6" thickTop="1" thickBot="1" x14ac:dyDescent="0.35">
      <c r="A34" s="6" t="s">
        <v>24</v>
      </c>
      <c r="B34" s="6" t="s">
        <v>35</v>
      </c>
      <c r="C34" s="6" t="s">
        <v>36</v>
      </c>
      <c r="D34" s="6" t="s">
        <v>39</v>
      </c>
    </row>
    <row r="35" spans="1:4" ht="15.6" thickTop="1" thickBot="1" x14ac:dyDescent="0.35">
      <c r="A35" s="6" t="s">
        <v>25</v>
      </c>
      <c r="B35" s="6">
        <f>MODE(C3,C6:C8,C11)</f>
        <v>23</v>
      </c>
      <c r="C35" s="6">
        <f>MODE(D3,D6:D8,D11)</f>
        <v>180</v>
      </c>
      <c r="D35" s="6" t="s">
        <v>31</v>
      </c>
    </row>
    <row r="36" spans="1:4" ht="15" thickTop="1" x14ac:dyDescent="0.3"/>
  </sheetData>
  <mergeCells count="2">
    <mergeCell ref="A30:B30"/>
    <mergeCell ref="A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GUZMÁN DE LA TORRE</dc:creator>
  <cp:lastModifiedBy>Andrea Guzman</cp:lastModifiedBy>
  <dcterms:created xsi:type="dcterms:W3CDTF">2025-10-09T16:26:11Z</dcterms:created>
  <dcterms:modified xsi:type="dcterms:W3CDTF">2025-10-17T02:34:38Z</dcterms:modified>
</cp:coreProperties>
</file>